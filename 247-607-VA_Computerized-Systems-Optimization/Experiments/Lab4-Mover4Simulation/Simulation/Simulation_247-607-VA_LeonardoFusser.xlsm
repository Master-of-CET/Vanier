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iveconcordia-my.sharepoint.com/personal/l_fusse_live_concordia_ca/Documents/Git/VS/2019 projects/Vanier/Computerized Systems Optimization/Lab4/pdcurses_test/mover4_v6/excel_sim/"/>
    </mc:Choice>
  </mc:AlternateContent>
  <xr:revisionPtr revIDLastSave="91" documentId="13_ncr:1_{6E7615C2-F1B8-4A33-850A-0417D50CF1D6}" xr6:coauthVersionLast="47" xr6:coauthVersionMax="47" xr10:uidLastSave="{99BF2BF5-B76E-4C6E-AC81-F5F3AD3C120C}"/>
  <bookViews>
    <workbookView xWindow="-120" yWindow="-120" windowWidth="29040" windowHeight="15990" xr2:uid="{00000000-000D-0000-FFFF-FFFF00000000}"/>
  </bookViews>
  <sheets>
    <sheet name="inv_kin" sheetId="11" r:id="rId1"/>
    <sheet name="animation" sheetId="8" r:id="rId2"/>
  </sheets>
  <definedNames>
    <definedName name="BASE_HEIGHT" localSheetId="0">inv_kin!#REF!</definedName>
    <definedName name="BASE_HEIGHT">animation!$B$5</definedName>
    <definedName name="DEGREESSPN" localSheetId="1">animation!#REF!</definedName>
    <definedName name="DEGREESSPN" localSheetId="0">inv_kin!#REF!</definedName>
    <definedName name="DEGREESSPN">#REF!</definedName>
    <definedName name="ExternalData_1" localSheetId="0" hidden="1">inv_kin!$A$3:$A$8</definedName>
    <definedName name="HUMERUS" localSheetId="0">inv_kin!#REF!</definedName>
    <definedName name="HUMERUS">animation!$B$7</definedName>
    <definedName name="INPUTDEGREES" localSheetId="1">animation!#REF!</definedName>
    <definedName name="INPUTDEGREES" localSheetId="0">inv_kin!#REF!</definedName>
    <definedName name="INPUTDEGREES">#REF!</definedName>
    <definedName name="MAXDEGREES" localSheetId="1">animation!#REF!</definedName>
    <definedName name="MAXDEGREES" localSheetId="0">inv_kin!#REF!</definedName>
    <definedName name="MAXDEGREES">#REF!</definedName>
    <definedName name="MAXPULSE" localSheetId="1">animation!#REF!</definedName>
    <definedName name="MAXPULSE" localSheetId="0">inv_kin!#REF!</definedName>
    <definedName name="MAXPULSE">#REF!</definedName>
    <definedName name="MINDEGREES" localSheetId="1">animation!#REF!</definedName>
    <definedName name="MINDEGREES" localSheetId="0">inv_kin!#REF!</definedName>
    <definedName name="MINDEGREES">#REF!</definedName>
    <definedName name="MINIMUMDEG" localSheetId="1">animation!#REF!</definedName>
    <definedName name="MINIMUMDEG" localSheetId="0">inv_kin!#REF!</definedName>
    <definedName name="MINIMUMDEG">#REF!</definedName>
    <definedName name="MINPULSE" localSheetId="1">animation!#REF!</definedName>
    <definedName name="MINPULSE" localSheetId="0">inv_kin!#REF!</definedName>
    <definedName name="MINPULSE">#REF!</definedName>
    <definedName name="PULSESPN" localSheetId="1">animation!#REF!</definedName>
    <definedName name="PULSESPN" localSheetId="0">inv_kin!#REF!</definedName>
    <definedName name="PULSESPN">#REF!</definedName>
    <definedName name="RATIO" localSheetId="1">animation!#REF!</definedName>
    <definedName name="RATIO" localSheetId="0">inv_kin!#REF!</definedName>
    <definedName name="RATI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0" i="8" l="1"/>
  <c r="B15" i="8"/>
  <c r="B14" i="8"/>
  <c r="B13" i="8"/>
  <c r="B10" i="8" l="1"/>
  <c r="B8" i="8"/>
  <c r="B6" i="8"/>
  <c r="B4" i="8" s="1"/>
  <c r="J21" i="8"/>
  <c r="C6" i="8" l="1"/>
  <c r="D6" i="8" l="1"/>
  <c r="F7" i="8" s="1"/>
  <c r="C8" i="8"/>
  <c r="F5" i="8"/>
  <c r="F18" i="8" s="1"/>
  <c r="G18" i="8"/>
  <c r="C10" i="8" l="1"/>
  <c r="E10" i="8" s="1"/>
  <c r="G11" i="8" s="1"/>
  <c r="F19" i="8"/>
  <c r="E8" i="8"/>
  <c r="G9" i="8" s="1"/>
  <c r="E6" i="8"/>
  <c r="G7" i="8" s="1"/>
  <c r="D8" i="8"/>
  <c r="F9" i="8" s="1"/>
  <c r="F20" i="8" s="1"/>
  <c r="D10" i="8" l="1"/>
  <c r="F11" i="8" s="1"/>
  <c r="F13" i="8" s="1"/>
  <c r="G13" i="8"/>
  <c r="G19" i="8"/>
  <c r="G20" i="8"/>
  <c r="G21" i="8"/>
  <c r="I21" i="8" l="1"/>
  <c r="H21" i="8"/>
  <c r="F21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export" description="Connection to the 'export' query in the workbook." type="5" refreshedVersion="6" background="1" saveData="1">
    <dbPr connection="Provider=Microsoft.Mashup.OleDb.1;Data Source=$Workbook$;Location=export;Extended Properties=&quot;&quot;" command="SELECT * FROM [export]"/>
  </connection>
  <connection id="2" xr16:uid="{00000000-0015-0000-FFFF-FFFF01000000}" keepAlive="1" name="Query - export (2)" description="Connection to the 'export (2)' query in the workbook." type="5" refreshedVersion="6" background="1" saveData="1">
    <dbPr connection="Provider=Microsoft.Mashup.OleDb.1;Data Source=$Workbook$;Location=export (2);Extended Properties=&quot;&quot;" command="SELECT * FROM [export (2)]"/>
  </connection>
  <connection id="3" xr16:uid="{00000000-0015-0000-FFFF-FFFF02000000}" keepAlive="1" name="Query - export (3)" description="Connection to the 'export (3)' query in the workbook." type="5" refreshedVersion="6" background="1" saveData="1">
    <dbPr connection="Provider=Microsoft.Mashup.OleDb.1;Data Source=$Workbook$;Location=export (3);Extended Properties=&quot;&quot;" command="SELECT * FROM [export (3)]"/>
  </connection>
  <connection id="4" xr16:uid="{F46877E7-346E-43B4-B784-56978D9E985F}" keepAlive="1" name="Query - export (4)" description="Connection to the 'export (4)' query in the workbook." type="5" refreshedVersion="6" background="1" saveData="1">
    <dbPr connection="Provider=Microsoft.Mashup.OleDb.1;Data Source=$Workbook$;Location=export (4);Extended Properties=&quot;&quot;" command="SELECT * FROM [export (4)]"/>
  </connection>
  <connection id="5" xr16:uid="{684B9A66-7269-46C9-BC93-4E901DCBF7D4}" keepAlive="1" name="Query - export (5)" description="Connection to the 'export (5)' query in the workbook." type="5" refreshedVersion="8" background="1" saveData="1">
    <dbPr connection="Provider=Microsoft.Mashup.OleDb.1;Data Source=$Workbook$;Location=export (5);Extended Properties=&quot;&quot;" command="SELECT * FROM [export (5)]"/>
  </connection>
</connections>
</file>

<file path=xl/sharedStrings.xml><?xml version="1.0" encoding="utf-8"?>
<sst xmlns="http://schemas.openxmlformats.org/spreadsheetml/2006/main" count="44" uniqueCount="35">
  <si>
    <t>shoulder</t>
  </si>
  <si>
    <t>elbow</t>
  </si>
  <si>
    <t>wrist</t>
  </si>
  <si>
    <t>tip</t>
  </si>
  <si>
    <t>sin</t>
  </si>
  <si>
    <t>cos</t>
  </si>
  <si>
    <t>height</t>
  </si>
  <si>
    <t>depth</t>
  </si>
  <si>
    <t>rad</t>
  </si>
  <si>
    <t>base</t>
  </si>
  <si>
    <t>Graphic position</t>
  </si>
  <si>
    <t>sum:</t>
  </si>
  <si>
    <t>base height (in)</t>
  </si>
  <si>
    <t>shoulder angle</t>
  </si>
  <si>
    <t>humerus (in)</t>
  </si>
  <si>
    <t>elbow angle</t>
  </si>
  <si>
    <t>ulna (in)</t>
  </si>
  <si>
    <t>wrist angle</t>
  </si>
  <si>
    <t>gripper (in)</t>
  </si>
  <si>
    <t>DO NOT FILL THE AREA BELOW:</t>
  </si>
  <si>
    <t>Column1</t>
  </si>
  <si>
    <t>Base</t>
  </si>
  <si>
    <t>Shoulder</t>
  </si>
  <si>
    <t>Elbow</t>
  </si>
  <si>
    <t>Wrist</t>
  </si>
  <si>
    <t>Angle</t>
  </si>
  <si>
    <t>x</t>
  </si>
  <si>
    <t>y</t>
  </si>
  <si>
    <t>Base angle</t>
  </si>
  <si>
    <t>degrees</t>
  </si>
  <si>
    <t>shoulder angle + 90</t>
  </si>
  <si>
    <t>-64.472943</t>
  </si>
  <si>
    <t>86.699003</t>
  </si>
  <si>
    <t>31.974063</t>
  </si>
  <si>
    <t>16.327744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</si>
</sst>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9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1"/>
      <color theme="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164" fontId="0" fillId="0" borderId="0" xfId="0" applyNumberFormat="1"/>
    <xf numFmtId="0" fontId="2" fillId="0" borderId="0" xfId="0" applyFont="1"/>
    <xf numFmtId="2" fontId="0" fillId="0" borderId="0" xfId="0" applyNumberFormat="1"/>
    <xf numFmtId="0" fontId="2" fillId="0" borderId="0" xfId="0" applyFont="1" applyAlignment="1">
      <alignment horizontal="right"/>
    </xf>
    <xf numFmtId="0" fontId="0" fillId="2" borderId="1" xfId="0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1" fillId="0" borderId="0" xfId="0" applyFont="1"/>
    <xf numFmtId="164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64" fontId="2" fillId="0" borderId="0" xfId="0" applyNumberFormat="1" applyFont="1"/>
    <xf numFmtId="2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/>
    </xf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0" fillId="0" borderId="0" xfId="0" applyAlignment="1">
      <alignment horizontal="left"/>
    </xf>
    <xf numFmtId="0" fontId="1" fillId="0" borderId="2" xfId="0" applyFont="1" applyBorder="1" applyAlignment="1">
      <alignment horizontal="right"/>
    </xf>
    <xf numFmtId="2" fontId="1" fillId="0" borderId="0" xfId="0" applyNumberFormat="1" applyFont="1" applyAlignment="1">
      <alignment horizontal="right"/>
    </xf>
    <xf numFmtId="164" fontId="1" fillId="0" borderId="0" xfId="0" applyNumberFormat="1" applyFont="1" applyAlignment="1">
      <alignment horizontal="right"/>
    </xf>
    <xf numFmtId="0" fontId="0" fillId="0" borderId="0" xfId="0" applyAlignment="1">
      <alignment horizontal="right" vertical="top"/>
    </xf>
    <xf numFmtId="0" fontId="3" fillId="0" borderId="0" xfId="0" applyFont="1" applyAlignment="1">
      <alignment horizontal="right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2" fontId="0" fillId="0" borderId="0" xfId="0" applyNumberFormat="1" applyAlignment="1">
      <alignment horizontal="right"/>
    </xf>
    <xf numFmtId="0" fontId="0" fillId="0" borderId="4" xfId="0" applyBorder="1"/>
    <xf numFmtId="164" fontId="1" fillId="3" borderId="0" xfId="0" applyNumberFormat="1" applyFont="1" applyFill="1"/>
    <xf numFmtId="164" fontId="1" fillId="4" borderId="0" xfId="0" applyNumberFormat="1" applyFont="1" applyFill="1"/>
    <xf numFmtId="164" fontId="1" fillId="5" borderId="0" xfId="0" applyNumberFormat="1" applyFont="1" applyFill="1"/>
    <xf numFmtId="164" fontId="1" fillId="6" borderId="0" xfId="0" applyNumberFormat="1" applyFont="1" applyFill="1"/>
    <xf numFmtId="0" fontId="0" fillId="3" borderId="0" xfId="0" applyFill="1" applyAlignment="1">
      <alignment horizontal="right"/>
    </xf>
    <xf numFmtId="2" fontId="1" fillId="2" borderId="0" xfId="0" applyNumberFormat="1" applyFont="1" applyFill="1" applyAlignment="1">
      <alignment horizontal="right"/>
    </xf>
    <xf numFmtId="2" fontId="1" fillId="5" borderId="0" xfId="0" applyNumberFormat="1" applyFont="1" applyFill="1" applyAlignment="1">
      <alignment horizontal="right"/>
    </xf>
    <xf numFmtId="2" fontId="1" fillId="4" borderId="0" xfId="0" applyNumberFormat="1" applyFont="1" applyFill="1" applyAlignment="1">
      <alignment horizontal="right"/>
    </xf>
    <xf numFmtId="0" fontId="1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4" fillId="0" borderId="4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5" fillId="0" borderId="0" xfId="0" applyFont="1" applyAlignment="1">
      <alignment horizontal="right" vertical="top"/>
    </xf>
    <xf numFmtId="0" fontId="0" fillId="0" borderId="0" xfId="0" applyAlignment="1">
      <alignment horizontal="center"/>
    </xf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smooth val="1"/>
          <c:extLst>
            <c:ext xmlns:c16="http://schemas.microsoft.com/office/drawing/2014/chart" uri="{C3380CC4-5D6E-409C-BE32-E72D297353CC}">
              <c16:uniqueId val="{00000000-F35E-49B3-BB61-CE4949110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790568"/>
        <c:axId val="1"/>
      </c:scatterChart>
      <c:valAx>
        <c:axId val="845790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57905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smooth val="1"/>
          <c:extLst>
            <c:ext xmlns:c16="http://schemas.microsoft.com/office/drawing/2014/chart" uri="{C3380CC4-5D6E-409C-BE32-E72D297353CC}">
              <c16:uniqueId val="{00000000-794B-4B71-AF27-221F55BFF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791552"/>
        <c:axId val="1"/>
      </c:scatterChart>
      <c:valAx>
        <c:axId val="84579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5791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smooth val="1"/>
          <c:extLst>
            <c:ext xmlns:c16="http://schemas.microsoft.com/office/drawing/2014/chart" uri="{C3380CC4-5D6E-409C-BE32-E72D297353CC}">
              <c16:uniqueId val="{00000000-F796-42F5-BC04-E76109D04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803536"/>
        <c:axId val="1"/>
      </c:scatterChart>
      <c:valAx>
        <c:axId val="845803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58035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>
                <a:solidFill>
                  <a:schemeClr val="accent6">
                    <a:lumMod val="75000"/>
                  </a:schemeClr>
                </a:solidFill>
              </a:defRPr>
            </a:pPr>
            <a:r>
              <a:rPr lang="en-US" sz="2000">
                <a:solidFill>
                  <a:schemeClr val="accent6">
                    <a:lumMod val="75000"/>
                  </a:schemeClr>
                </a:solidFill>
              </a:rPr>
              <a:t>Side View z-r</a:t>
            </a:r>
          </a:p>
        </c:rich>
      </c:tx>
      <c:layout>
        <c:manualLayout>
          <c:xMode val="edge"/>
          <c:yMode val="edge"/>
          <c:x val="0.84349057658115312"/>
          <c:y val="0.4282051282051281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3.2906764168190127E-2"/>
          <c:y val="7.5892939859597192E-2"/>
          <c:w val="0.7925045703839122"/>
          <c:h val="0.774554415625889"/>
        </c:manualLayout>
      </c:layout>
      <c:scatterChart>
        <c:scatterStyle val="lineMarker"/>
        <c:varyColors val="0"/>
        <c:ser>
          <c:idx val="0"/>
          <c:order val="0"/>
          <c:tx>
            <c:v>base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1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animation!$G$17:$G$18</c:f>
              <c:numCache>
                <c:formatCode>0.0000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xVal>
          <c:yVal>
            <c:numRef>
              <c:f>animation!$F$17:$F$18</c:f>
              <c:numCache>
                <c:formatCode>0.0000</c:formatCode>
                <c:ptCount val="2"/>
                <c:pt idx="0" formatCode="General">
                  <c:v>0</c:v>
                </c:pt>
                <c:pt idx="1">
                  <c:v>8.11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4-4936-8895-6D3EFF7CCEED}"/>
            </c:ext>
          </c:extLst>
        </c:ser>
        <c:ser>
          <c:idx val="1"/>
          <c:order val="1"/>
          <c:tx>
            <c:v>humerus</c:v>
          </c:tx>
          <c:spPr>
            <a:ln w="38100">
              <a:pattFill prst="pct50">
                <a:fgClr>
                  <a:srgbClr val="FF00FF"/>
                </a:fgClr>
                <a:bgClr>
                  <a:srgbClr val="FFFFFF"/>
                </a:bgClr>
              </a:pattFill>
              <a:prstDash val="solid"/>
            </a:ln>
          </c:spPr>
          <c:marker>
            <c:symbol val="circle"/>
            <c:size val="15"/>
            <c:spPr>
              <a:noFill/>
              <a:ln w="9525">
                <a:noFill/>
              </a:ln>
            </c:spPr>
          </c:marker>
          <c:xVal>
            <c:numRef>
              <c:f>animation!$G$18:$G$19</c:f>
              <c:numCache>
                <c:formatCode>0.0000</c:formatCode>
                <c:ptCount val="2"/>
                <c:pt idx="0">
                  <c:v>0</c:v>
                </c:pt>
                <c:pt idx="1">
                  <c:v>3.9609241218542084</c:v>
                </c:pt>
              </c:numCache>
            </c:numRef>
          </c:xVal>
          <c:yVal>
            <c:numRef>
              <c:f>animation!$F$18:$F$19</c:f>
              <c:numCache>
                <c:formatCode>0.0000</c:formatCode>
                <c:ptCount val="2"/>
                <c:pt idx="0">
                  <c:v>8.11</c:v>
                </c:pt>
                <c:pt idx="1">
                  <c:v>14.45519346441962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344-4936-8895-6D3EFF7CCEED}"/>
            </c:ext>
          </c:extLst>
        </c:ser>
        <c:ser>
          <c:idx val="2"/>
          <c:order val="2"/>
          <c:tx>
            <c:v>ulna</c:v>
          </c:tx>
          <c:spPr>
            <a:ln w="38100">
              <a:pattFill prst="pct75">
                <a:fgClr>
                  <a:srgbClr val="FFFF00"/>
                </a:fgClr>
                <a:bgClr>
                  <a:srgbClr val="FFFFFF"/>
                </a:bgClr>
              </a:pattFill>
              <a:prstDash val="solid"/>
            </a:ln>
          </c:spPr>
          <c:marker>
            <c:symbol val="none"/>
          </c:marker>
          <c:xVal>
            <c:numRef>
              <c:f>animation!$G$19:$G$20</c:f>
              <c:numCache>
                <c:formatCode>0.0000</c:formatCode>
                <c:ptCount val="2"/>
                <c:pt idx="0">
                  <c:v>3.9609241218542084</c:v>
                </c:pt>
                <c:pt idx="1">
                  <c:v>11.558964027583533</c:v>
                </c:pt>
              </c:numCache>
            </c:numRef>
          </c:xVal>
          <c:yVal>
            <c:numRef>
              <c:f>animation!$F$19:$F$20</c:f>
              <c:numCache>
                <c:formatCode>0.0000</c:formatCode>
                <c:ptCount val="2"/>
                <c:pt idx="0">
                  <c:v>14.45519346441962</c:v>
                </c:pt>
                <c:pt idx="1">
                  <c:v>10.300029256961061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44-4936-8895-6D3EFF7CCEED}"/>
            </c:ext>
          </c:extLst>
        </c:ser>
        <c:ser>
          <c:idx val="3"/>
          <c:order val="3"/>
          <c:tx>
            <c:v>hand</c:v>
          </c:tx>
          <c:spPr>
            <a:ln w="38100">
              <a:pattFill prst="pct25">
                <a:fgClr>
                  <a:srgbClr val="00FFFF"/>
                </a:fgClr>
                <a:bgClr>
                  <a:srgbClr val="FFFFFF"/>
                </a:bgClr>
              </a:pattFill>
              <a:prstDash val="solid"/>
            </a:ln>
          </c:spPr>
          <c:marker>
            <c:symbol val="x"/>
            <c:size val="9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animation!$G$20:$G$21</c:f>
              <c:numCache>
                <c:formatCode>0.0000</c:formatCode>
                <c:ptCount val="2"/>
                <c:pt idx="0">
                  <c:v>11.558964027583533</c:v>
                </c:pt>
                <c:pt idx="1">
                  <c:v>16.027932589446444</c:v>
                </c:pt>
              </c:numCache>
            </c:numRef>
          </c:xVal>
          <c:yVal>
            <c:numRef>
              <c:f>animation!$F$20:$F$21</c:f>
              <c:numCache>
                <c:formatCode>0.0000</c:formatCode>
                <c:ptCount val="2"/>
                <c:pt idx="0">
                  <c:v>10.300029256961061</c:v>
                </c:pt>
                <c:pt idx="1">
                  <c:v>13.523136452367529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44-4936-8895-6D3EFF7CCEED}"/>
            </c:ext>
          </c:extLst>
        </c:ser>
        <c:ser>
          <c:idx val="6"/>
          <c:order val="4"/>
          <c:tx>
            <c:v>tip</c:v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circle"/>
            <c:size val="1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animation!$G$21</c:f>
              <c:numCache>
                <c:formatCode>0.0000</c:formatCode>
                <c:ptCount val="1"/>
                <c:pt idx="0">
                  <c:v>16.027932589446444</c:v>
                </c:pt>
              </c:numCache>
            </c:numRef>
          </c:xVal>
          <c:yVal>
            <c:numRef>
              <c:f>animation!$F$21</c:f>
              <c:numCache>
                <c:formatCode>0.0000</c:formatCode>
                <c:ptCount val="1"/>
                <c:pt idx="0">
                  <c:v>13.523136452367529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44-4936-8895-6D3EFF7CCEED}"/>
            </c:ext>
          </c:extLst>
        </c:ser>
        <c:ser>
          <c:idx val="4"/>
          <c:order val="5"/>
          <c:tx>
            <c:v>elbow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1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animation!$G$19</c:f>
              <c:numCache>
                <c:formatCode>0.0000</c:formatCode>
                <c:ptCount val="1"/>
                <c:pt idx="0">
                  <c:v>3.9609241218542084</c:v>
                </c:pt>
              </c:numCache>
            </c:numRef>
          </c:xVal>
          <c:yVal>
            <c:numRef>
              <c:f>animation!$F$19</c:f>
              <c:numCache>
                <c:formatCode>0.0000</c:formatCode>
                <c:ptCount val="1"/>
                <c:pt idx="0">
                  <c:v>14.45519346441962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44-4936-8895-6D3EFF7CCEED}"/>
            </c:ext>
          </c:extLst>
        </c:ser>
        <c:ser>
          <c:idx val="5"/>
          <c:order val="6"/>
          <c:tx>
            <c:v>wrist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1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animation!$G$20</c:f>
              <c:numCache>
                <c:formatCode>0.0000</c:formatCode>
                <c:ptCount val="1"/>
                <c:pt idx="0">
                  <c:v>11.558964027583533</c:v>
                </c:pt>
              </c:numCache>
            </c:numRef>
          </c:xVal>
          <c:yVal>
            <c:numRef>
              <c:f>animation!$F$20</c:f>
              <c:numCache>
                <c:formatCode>0.0000</c:formatCode>
                <c:ptCount val="1"/>
                <c:pt idx="0">
                  <c:v>10.300029256961061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44-4936-8895-6D3EFF7CC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804520"/>
        <c:axId val="1"/>
      </c:scatterChart>
      <c:valAx>
        <c:axId val="845804520"/>
        <c:scaling>
          <c:orientation val="minMax"/>
          <c:max val="20"/>
          <c:min val="-2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At val="-20"/>
        <c:crossBetween val="midCat"/>
      </c:valAx>
      <c:valAx>
        <c:axId val="1"/>
        <c:scaling>
          <c:orientation val="minMax"/>
          <c:max val="3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58045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>
                <a:solidFill>
                  <a:schemeClr val="accent6">
                    <a:lumMod val="75000"/>
                  </a:schemeClr>
                </a:solidFill>
              </a:defRPr>
            </a:pPr>
            <a:r>
              <a:rPr lang="en-US" sz="2000">
                <a:solidFill>
                  <a:schemeClr val="accent6">
                    <a:lumMod val="75000"/>
                  </a:schemeClr>
                </a:solidFill>
              </a:rPr>
              <a:t>Top view x-y</a:t>
            </a:r>
          </a:p>
        </c:rich>
      </c:tx>
      <c:layout>
        <c:manualLayout>
          <c:xMode val="edge"/>
          <c:yMode val="edge"/>
          <c:x val="0.82073329419525876"/>
          <c:y val="0.393569131832797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3.2906764168190127E-2"/>
          <c:y val="7.5892939859597192E-2"/>
          <c:w val="0.7925045703839122"/>
          <c:h val="0.774554415625889"/>
        </c:manualLayout>
      </c:layout>
      <c:scatterChart>
        <c:scatterStyle val="lineMarker"/>
        <c:varyColors val="0"/>
        <c:ser>
          <c:idx val="1"/>
          <c:order val="0"/>
          <c:tx>
            <c:v>humerus</c:v>
          </c:tx>
          <c:spPr>
            <a:ln w="38100">
              <a:pattFill prst="pct50">
                <a:fgClr>
                  <a:srgbClr val="FF00FF"/>
                </a:fgClr>
                <a:bgClr>
                  <a:srgbClr val="FFFFFF"/>
                </a:bgClr>
              </a:pattFill>
              <a:prstDash val="solid"/>
            </a:ln>
          </c:spPr>
          <c:marker>
            <c:symbol val="circle"/>
            <c:size val="15"/>
            <c:spPr>
              <a:noFill/>
              <a:ln w="9525">
                <a:noFill/>
              </a:ln>
            </c:spPr>
          </c:marker>
          <c:xVal>
            <c:numRef>
              <c:f>animation!$H$20:$H$21</c:f>
              <c:numCache>
                <c:formatCode>General</c:formatCode>
                <c:ptCount val="2"/>
                <c:pt idx="0">
                  <c:v>0</c:v>
                </c:pt>
                <c:pt idx="1">
                  <c:v>15.381514429564932</c:v>
                </c:pt>
              </c:numCache>
            </c:numRef>
          </c:xVal>
          <c:yVal>
            <c:numRef>
              <c:f>animation!$I$20:$I$21</c:f>
              <c:numCache>
                <c:formatCode>General</c:formatCode>
                <c:ptCount val="2"/>
                <c:pt idx="0">
                  <c:v>0</c:v>
                </c:pt>
                <c:pt idx="1">
                  <c:v>4.505955719370216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B3-4C2C-9018-2F7F83CA4D7F}"/>
            </c:ext>
          </c:extLst>
        </c:ser>
        <c:ser>
          <c:idx val="4"/>
          <c:order val="1"/>
          <c:tx>
            <c:v>elbow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1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animation!$H$21</c:f>
              <c:numCache>
                <c:formatCode>General</c:formatCode>
                <c:ptCount val="1"/>
                <c:pt idx="0">
                  <c:v>15.381514429564932</c:v>
                </c:pt>
              </c:numCache>
            </c:numRef>
          </c:xVal>
          <c:yVal>
            <c:numRef>
              <c:f>animation!$I$21</c:f>
              <c:numCache>
                <c:formatCode>General</c:formatCode>
                <c:ptCount val="1"/>
                <c:pt idx="0">
                  <c:v>4.505955719370216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B3-4C2C-9018-2F7F83CA4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804520"/>
        <c:axId val="1"/>
      </c:scatterChart>
      <c:valAx>
        <c:axId val="845804520"/>
        <c:scaling>
          <c:orientation val="minMax"/>
          <c:max val="20"/>
          <c:min val="-2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At val="-20"/>
        <c:crossBetween val="midCat"/>
      </c:valAx>
      <c:valAx>
        <c:axId val="1"/>
        <c:scaling>
          <c:orientation val="minMax"/>
          <c:max val="25"/>
          <c:min val="-2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58045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animation!#REF!</c:f>
              <c:numCache>
                <c:formatCode>General</c:formatCode>
                <c:ptCount val="5"/>
              </c:numCache>
            </c:numRef>
          </c:xVal>
          <c:yVal>
            <c:numRef>
              <c:f>animation!#REF!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70-4D2E-838C-A83936F19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865632"/>
        <c:axId val="1"/>
      </c:scatterChart>
      <c:valAx>
        <c:axId val="845865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5865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animation!#REF!</c:f>
              <c:numCache>
                <c:formatCode>General</c:formatCode>
                <c:ptCount val="5"/>
              </c:numCache>
            </c:numRef>
          </c:xVal>
          <c:yVal>
            <c:numRef>
              <c:f>animation!#REF!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C4-4C42-8789-0E0579CE9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866288"/>
        <c:axId val="1"/>
      </c:scatterChart>
      <c:valAx>
        <c:axId val="845866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58662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animation!#REF!</c:f>
              <c:numCache>
                <c:formatCode>General</c:formatCode>
                <c:ptCount val="5"/>
              </c:numCache>
            </c:numRef>
          </c:xVal>
          <c:yVal>
            <c:numRef>
              <c:f>animation!#REF!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D0-4791-B25C-D3B03C8C4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891360"/>
        <c:axId val="1"/>
      </c:scatterChart>
      <c:valAx>
        <c:axId val="845891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58913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76200</xdr:colOff>
      <xdr:row>0</xdr:row>
      <xdr:rowOff>0</xdr:rowOff>
    </xdr:to>
    <xdr:graphicFrame macro="">
      <xdr:nvGraphicFramePr>
        <xdr:cNvPr id="818214" name="Chart 1">
          <a:extLst>
            <a:ext uri="{FF2B5EF4-FFF2-40B4-BE49-F238E27FC236}">
              <a16:creationId xmlns:a16="http://schemas.microsoft.com/office/drawing/2014/main" id="{00E86F1D-E3D5-4885-B3F1-AD6615F979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114300</xdr:colOff>
      <xdr:row>0</xdr:row>
      <xdr:rowOff>0</xdr:rowOff>
    </xdr:from>
    <xdr:to>
      <xdr:col>5</xdr:col>
      <xdr:colOff>114300</xdr:colOff>
      <xdr:row>0</xdr:row>
      <xdr:rowOff>0</xdr:rowOff>
    </xdr:to>
    <xdr:graphicFrame macro="">
      <xdr:nvGraphicFramePr>
        <xdr:cNvPr id="818215" name="Chart 2">
          <a:extLst>
            <a:ext uri="{FF2B5EF4-FFF2-40B4-BE49-F238E27FC236}">
              <a16:creationId xmlns:a16="http://schemas.microsoft.com/office/drawing/2014/main" id="{D3C31248-217F-42A5-99DD-086DDFDA9C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190500</xdr:colOff>
      <xdr:row>0</xdr:row>
      <xdr:rowOff>0</xdr:rowOff>
    </xdr:from>
    <xdr:to>
      <xdr:col>9</xdr:col>
      <xdr:colOff>0</xdr:colOff>
      <xdr:row>0</xdr:row>
      <xdr:rowOff>0</xdr:rowOff>
    </xdr:to>
    <xdr:graphicFrame macro="">
      <xdr:nvGraphicFramePr>
        <xdr:cNvPr id="818216" name="Chart 3">
          <a:extLst>
            <a:ext uri="{FF2B5EF4-FFF2-40B4-BE49-F238E27FC236}">
              <a16:creationId xmlns:a16="http://schemas.microsoft.com/office/drawing/2014/main" id="{6044E9DD-1F1E-4259-A9D7-6E70BE460B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10</xdr:row>
      <xdr:rowOff>79375</xdr:rowOff>
    </xdr:from>
    <xdr:to>
      <xdr:col>12</xdr:col>
      <xdr:colOff>269875</xdr:colOff>
      <xdr:row>41</xdr:row>
      <xdr:rowOff>111125</xdr:rowOff>
    </xdr:to>
    <xdr:graphicFrame macro="">
      <xdr:nvGraphicFramePr>
        <xdr:cNvPr id="818217" name="Chart 4" descr="fff">
          <a:extLst>
            <a:ext uri="{FF2B5EF4-FFF2-40B4-BE49-F238E27FC236}">
              <a16:creationId xmlns:a16="http://schemas.microsoft.com/office/drawing/2014/main" id="{923CED70-ABCF-4B48-A34B-59E9A9F8A2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309562</xdr:colOff>
      <xdr:row>2</xdr:row>
      <xdr:rowOff>23812</xdr:rowOff>
    </xdr:from>
    <xdr:to>
      <xdr:col>3</xdr:col>
      <xdr:colOff>702468</xdr:colOff>
      <xdr:row>6</xdr:row>
      <xdr:rowOff>83344</xdr:rowOff>
    </xdr:to>
    <xdr:sp macro="[0]!MyRefresh" textlink="">
      <xdr:nvSpPr>
        <xdr:cNvPr id="2" name="Oval 1">
          <a:extLst>
            <a:ext uri="{FF2B5EF4-FFF2-40B4-BE49-F238E27FC236}">
              <a16:creationId xmlns:a16="http://schemas.microsoft.com/office/drawing/2014/main" id="{5AA0D0A7-8E95-4780-93D4-D9F1C71A5936}"/>
            </a:ext>
          </a:extLst>
        </xdr:cNvPr>
        <xdr:cNvSpPr/>
      </xdr:nvSpPr>
      <xdr:spPr bwMode="auto">
        <a:xfrm>
          <a:off x="2774156" y="357187"/>
          <a:ext cx="1000125" cy="726282"/>
        </a:xfrm>
        <a:prstGeom prst="ellipse">
          <a:avLst/>
        </a:prstGeom>
        <a:solidFill>
          <a:schemeClr val="accent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2400"/>
            <a:t>Start</a:t>
          </a:r>
        </a:p>
      </xdr:txBody>
    </xdr:sp>
    <xdr:clientData/>
  </xdr:twoCellAnchor>
  <xdr:twoCellAnchor>
    <xdr:from>
      <xdr:col>5</xdr:col>
      <xdr:colOff>11906</xdr:colOff>
      <xdr:row>2</xdr:row>
      <xdr:rowOff>59531</xdr:rowOff>
    </xdr:from>
    <xdr:to>
      <xdr:col>6</xdr:col>
      <xdr:colOff>238125</xdr:colOff>
      <xdr:row>6</xdr:row>
      <xdr:rowOff>83344</xdr:rowOff>
    </xdr:to>
    <xdr:sp macro="[0]!StopRefresh" textlink="">
      <xdr:nvSpPr>
        <xdr:cNvPr id="3" name="Rectangle 2">
          <a:extLst>
            <a:ext uri="{FF2B5EF4-FFF2-40B4-BE49-F238E27FC236}">
              <a16:creationId xmlns:a16="http://schemas.microsoft.com/office/drawing/2014/main" id="{344137F3-5710-4097-879D-6FD33F20DB80}"/>
            </a:ext>
          </a:extLst>
        </xdr:cNvPr>
        <xdr:cNvSpPr/>
      </xdr:nvSpPr>
      <xdr:spPr bwMode="auto">
        <a:xfrm>
          <a:off x="4524375" y="392906"/>
          <a:ext cx="1059656" cy="690563"/>
        </a:xfrm>
        <a:prstGeom prst="rect">
          <a:avLst/>
        </a:prstGeom>
        <a:solidFill>
          <a:srgbClr val="FF0000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2400"/>
            <a:t>Stop</a:t>
          </a:r>
        </a:p>
      </xdr:txBody>
    </xdr:sp>
    <xdr:clientData/>
  </xdr:twoCellAnchor>
  <xdr:twoCellAnchor>
    <xdr:from>
      <xdr:col>12</xdr:col>
      <xdr:colOff>390525</xdr:colOff>
      <xdr:row>10</xdr:row>
      <xdr:rowOff>79374</xdr:rowOff>
    </xdr:from>
    <xdr:to>
      <xdr:col>25</xdr:col>
      <xdr:colOff>238125</xdr:colOff>
      <xdr:row>41</xdr:row>
      <xdr:rowOff>95249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86A0917-1CAD-4561-BD9E-6ADBA9798A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0</xdr:rowOff>
    </xdr:from>
    <xdr:to>
      <xdr:col>3</xdr:col>
      <xdr:colOff>76200</xdr:colOff>
      <xdr:row>0</xdr:row>
      <xdr:rowOff>0</xdr:rowOff>
    </xdr:to>
    <xdr:graphicFrame macro="">
      <xdr:nvGraphicFramePr>
        <xdr:cNvPr id="5570" name="Chart 1">
          <a:extLst>
            <a:ext uri="{FF2B5EF4-FFF2-40B4-BE49-F238E27FC236}">
              <a16:creationId xmlns:a16="http://schemas.microsoft.com/office/drawing/2014/main" id="{3C84BBBC-C032-4F65-892F-94F9F3F26F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114300</xdr:colOff>
      <xdr:row>0</xdr:row>
      <xdr:rowOff>0</xdr:rowOff>
    </xdr:from>
    <xdr:to>
      <xdr:col>6</xdr:col>
      <xdr:colOff>114300</xdr:colOff>
      <xdr:row>0</xdr:row>
      <xdr:rowOff>0</xdr:rowOff>
    </xdr:to>
    <xdr:graphicFrame macro="">
      <xdr:nvGraphicFramePr>
        <xdr:cNvPr id="5571" name="Chart 2">
          <a:extLst>
            <a:ext uri="{FF2B5EF4-FFF2-40B4-BE49-F238E27FC236}">
              <a16:creationId xmlns:a16="http://schemas.microsoft.com/office/drawing/2014/main" id="{BC60CC53-AA43-48F1-8FC2-D091FBD1FE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190500</xdr:colOff>
      <xdr:row>0</xdr:row>
      <xdr:rowOff>0</xdr:rowOff>
    </xdr:from>
    <xdr:to>
      <xdr:col>10</xdr:col>
      <xdr:colOff>0</xdr:colOff>
      <xdr:row>0</xdr:row>
      <xdr:rowOff>0</xdr:rowOff>
    </xdr:to>
    <xdr:graphicFrame macro="">
      <xdr:nvGraphicFramePr>
        <xdr:cNvPr id="5572" name="Chart 3">
          <a:extLst>
            <a:ext uri="{FF2B5EF4-FFF2-40B4-BE49-F238E27FC236}">
              <a16:creationId xmlns:a16="http://schemas.microsoft.com/office/drawing/2014/main" id="{6DBD50C5-B8DD-4081-A763-2732A15BB7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99882DE0-E0F0-4CC5-9BB7-B2FF3B8A015C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BF7387-DBB1-4EE6-914E-A0F1077D59AD}" name="export__5" displayName="export__5" ref="A3:A8" tableType="queryTable" totalsRowShown="0">
  <autoFilter ref="A3:A8" xr:uid="{634F848A-AA79-4BB6-9AC8-E32667ED31D3}"/>
  <tableColumns count="1">
    <tableColumn id="1" xr3:uid="{B0C25230-3ADA-4DEC-90F2-B1967ED27082}" uniqueName="1" name="Column1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4"/>
  <sheetViews>
    <sheetView tabSelected="1" zoomScale="70" zoomScaleNormal="70" workbookViewId="0">
      <selection activeCell="A43" sqref="A43"/>
    </sheetView>
  </sheetViews>
  <sheetFormatPr defaultRowHeight="12.75" x14ac:dyDescent="0.2"/>
  <cols>
    <col min="1" max="1" width="13.85546875" bestFit="1" customWidth="1"/>
    <col min="2" max="2" width="11.28515625" bestFit="1" customWidth="1"/>
    <col min="3" max="3" width="11.28515625" customWidth="1"/>
    <col min="5" max="5" width="12.42578125" bestFit="1" customWidth="1"/>
    <col min="7" max="7" width="12.42578125" bestFit="1" customWidth="1"/>
    <col min="8" max="8" width="16.7109375" customWidth="1"/>
    <col min="9" max="9" width="12.7109375" customWidth="1"/>
    <col min="11" max="11" width="16.28515625" customWidth="1"/>
    <col min="13" max="13" width="14" customWidth="1"/>
    <col min="15" max="15" width="12.5703125" bestFit="1" customWidth="1"/>
  </cols>
  <sheetData>
    <row r="1" spans="1:18" x14ac:dyDescent="0.2">
      <c r="B1" s="8"/>
      <c r="C1" s="8"/>
      <c r="D1" s="8"/>
      <c r="E1" s="8"/>
      <c r="F1" s="8"/>
      <c r="H1" s="7"/>
      <c r="I1" s="14"/>
      <c r="J1" s="14"/>
    </row>
    <row r="2" spans="1:18" x14ac:dyDescent="0.2">
      <c r="C2" s="9"/>
      <c r="D2" s="9"/>
      <c r="E2" s="9"/>
      <c r="F2" s="9"/>
      <c r="H2" s="2"/>
      <c r="I2" s="15"/>
      <c r="J2" s="7"/>
    </row>
    <row r="3" spans="1:18" x14ac:dyDescent="0.2">
      <c r="A3" t="s">
        <v>20</v>
      </c>
      <c r="B3" s="8" t="s">
        <v>25</v>
      </c>
      <c r="C3" s="9"/>
      <c r="D3" s="9"/>
      <c r="E3" s="9"/>
      <c r="F3" s="9"/>
      <c r="K3" s="5">
        <v>8.11</v>
      </c>
      <c r="L3" s="21" t="s">
        <v>12</v>
      </c>
    </row>
    <row r="4" spans="1:18" x14ac:dyDescent="0.2">
      <c r="A4" t="s">
        <v>31</v>
      </c>
      <c r="B4" s="32" t="s">
        <v>24</v>
      </c>
      <c r="C4" s="9"/>
      <c r="D4" s="9"/>
      <c r="E4" s="9"/>
      <c r="F4" s="9"/>
      <c r="H4" s="4"/>
      <c r="I4" s="3"/>
      <c r="K4" s="5">
        <v>7.48</v>
      </c>
      <c r="L4" s="21" t="s">
        <v>14</v>
      </c>
    </row>
    <row r="5" spans="1:18" x14ac:dyDescent="0.2">
      <c r="A5" t="s">
        <v>32</v>
      </c>
      <c r="B5" s="33" t="s">
        <v>23</v>
      </c>
      <c r="C5" s="9"/>
      <c r="D5" s="9"/>
      <c r="E5" s="9"/>
      <c r="F5" s="9"/>
      <c r="H5" s="6"/>
      <c r="K5" s="5">
        <v>8.66</v>
      </c>
      <c r="L5" s="21" t="s">
        <v>16</v>
      </c>
    </row>
    <row r="6" spans="1:18" x14ac:dyDescent="0.2">
      <c r="A6" t="s">
        <v>33</v>
      </c>
      <c r="B6" s="34" t="s">
        <v>22</v>
      </c>
      <c r="C6" s="9"/>
      <c r="D6" s="9"/>
      <c r="E6" s="9"/>
      <c r="F6" s="9"/>
      <c r="H6" s="4"/>
      <c r="I6" s="1"/>
      <c r="K6" s="5">
        <v>5.51</v>
      </c>
      <c r="L6" s="21" t="s">
        <v>18</v>
      </c>
    </row>
    <row r="7" spans="1:18" x14ac:dyDescent="0.2">
      <c r="A7" t="s">
        <v>34</v>
      </c>
      <c r="B7" s="31" t="s">
        <v>21</v>
      </c>
      <c r="C7" s="9"/>
      <c r="D7" s="9"/>
      <c r="E7" s="9"/>
      <c r="F7" s="9"/>
      <c r="H7" s="6"/>
    </row>
    <row r="8" spans="1:18" x14ac:dyDescent="0.2">
      <c r="A8" t="s">
        <v>34</v>
      </c>
      <c r="B8" s="9"/>
      <c r="C8" s="9"/>
      <c r="D8" s="9"/>
      <c r="E8" s="9"/>
      <c r="F8" s="9"/>
      <c r="G8" s="9"/>
      <c r="I8" s="4"/>
      <c r="L8" s="3"/>
    </row>
    <row r="9" spans="1:18" x14ac:dyDescent="0.2">
      <c r="B9" s="1"/>
      <c r="C9" s="8"/>
      <c r="D9" s="8"/>
      <c r="E9" s="8"/>
      <c r="F9" s="8"/>
      <c r="G9" s="8"/>
      <c r="I9" s="6"/>
      <c r="K9" s="1"/>
    </row>
    <row r="10" spans="1:18" x14ac:dyDescent="0.2">
      <c r="B10" s="10"/>
      <c r="C10" s="8"/>
      <c r="D10" s="8"/>
      <c r="E10" s="11"/>
      <c r="F10" s="9"/>
      <c r="G10" s="9"/>
      <c r="I10" s="2"/>
      <c r="J10" s="12"/>
    </row>
    <row r="11" spans="1:18" x14ac:dyDescent="0.2">
      <c r="B11" s="8"/>
      <c r="C11" s="8"/>
      <c r="D11" s="8"/>
      <c r="E11" s="8"/>
      <c r="F11" s="8"/>
      <c r="G11" s="8"/>
      <c r="H11" s="2"/>
      <c r="I11" s="12"/>
      <c r="J11" s="12"/>
    </row>
    <row r="12" spans="1:18" x14ac:dyDescent="0.2">
      <c r="B12" s="8"/>
      <c r="C12" s="10"/>
      <c r="D12" s="8"/>
      <c r="E12" s="8"/>
      <c r="F12" s="8"/>
      <c r="G12" s="8"/>
      <c r="H12" s="2"/>
    </row>
    <row r="13" spans="1:18" x14ac:dyDescent="0.2">
      <c r="B13" s="10"/>
      <c r="C13" s="10"/>
      <c r="D13" s="8"/>
      <c r="E13" s="8"/>
      <c r="F13" s="8"/>
      <c r="G13" s="8"/>
      <c r="H13" s="2"/>
    </row>
    <row r="14" spans="1:18" x14ac:dyDescent="0.2">
      <c r="B14" s="10"/>
      <c r="C14" s="8"/>
      <c r="D14" s="8"/>
      <c r="E14" s="8"/>
      <c r="F14" s="9"/>
      <c r="G14" s="9"/>
    </row>
    <row r="15" spans="1:18" x14ac:dyDescent="0.2">
      <c r="B15" s="8"/>
      <c r="C15" s="10"/>
      <c r="D15" s="9"/>
      <c r="E15" s="8"/>
      <c r="F15" s="9"/>
      <c r="G15" s="9"/>
      <c r="I15" s="3"/>
      <c r="J15" s="3"/>
      <c r="O15" s="12"/>
      <c r="R15" s="2"/>
    </row>
    <row r="16" spans="1:18" x14ac:dyDescent="0.2">
      <c r="B16" s="10"/>
      <c r="C16" s="9"/>
      <c r="D16" s="8"/>
      <c r="E16" s="8"/>
      <c r="F16" s="9"/>
      <c r="G16" s="9"/>
      <c r="H16" s="2"/>
      <c r="O16" s="13"/>
      <c r="P16" s="13"/>
      <c r="Q16" s="12"/>
      <c r="R16" s="12"/>
    </row>
    <row r="17" spans="2:19" x14ac:dyDescent="0.2">
      <c r="B17" s="8"/>
      <c r="C17" s="10"/>
      <c r="D17" s="9"/>
      <c r="E17" s="8"/>
      <c r="F17" s="9"/>
      <c r="G17" s="9"/>
      <c r="O17" s="16"/>
      <c r="P17" s="16"/>
      <c r="Q17" s="3"/>
      <c r="R17" s="3"/>
    </row>
    <row r="18" spans="2:19" x14ac:dyDescent="0.2">
      <c r="B18" s="10"/>
      <c r="C18" s="8"/>
      <c r="D18" s="8"/>
      <c r="E18" s="8"/>
      <c r="F18" s="8"/>
      <c r="G18" s="8"/>
      <c r="O18" s="16"/>
      <c r="P18" s="16"/>
      <c r="Q18" s="3"/>
      <c r="R18" s="3"/>
    </row>
    <row r="19" spans="2:19" x14ac:dyDescent="0.2">
      <c r="B19" s="8"/>
      <c r="C19" s="1"/>
      <c r="D19" s="1"/>
      <c r="O19" s="16"/>
      <c r="P19" s="16"/>
      <c r="Q19" s="3"/>
      <c r="R19" s="3"/>
    </row>
    <row r="20" spans="2:19" x14ac:dyDescent="0.2">
      <c r="O20" s="17"/>
      <c r="P20" s="17"/>
      <c r="Q20" s="17"/>
      <c r="R20" s="17"/>
      <c r="S20" s="2"/>
    </row>
    <row r="21" spans="2:19" x14ac:dyDescent="0.2">
      <c r="C21" s="1"/>
      <c r="O21" s="7"/>
      <c r="P21" s="7"/>
    </row>
    <row r="22" spans="2:19" x14ac:dyDescent="0.2">
      <c r="P22" s="7"/>
    </row>
    <row r="34" spans="16:16" x14ac:dyDescent="0.2">
      <c r="P34" s="8"/>
    </row>
  </sheetData>
  <phoneticPr fontId="8" type="noConversion"/>
  <pageMargins left="0.75" right="0.75" top="1" bottom="1" header="0.5" footer="0.5"/>
  <pageSetup orientation="portrait" r:id="rId1"/>
  <headerFooter alignWithMargins="0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26"/>
  <sheetViews>
    <sheetView zoomScale="80" zoomScaleNormal="80" workbookViewId="0">
      <selection activeCell="J21" sqref="J21"/>
    </sheetView>
  </sheetViews>
  <sheetFormatPr defaultRowHeight="12.75" x14ac:dyDescent="0.2"/>
  <cols>
    <col min="1" max="1" width="18" customWidth="1"/>
    <col min="2" max="2" width="16.85546875" bestFit="1" customWidth="1"/>
    <col min="3" max="3" width="11.28515625" customWidth="1"/>
    <col min="5" max="5" width="12.42578125" bestFit="1" customWidth="1"/>
    <col min="7" max="7" width="12.42578125" bestFit="1" customWidth="1"/>
    <col min="8" max="8" width="16.7109375" customWidth="1"/>
    <col min="9" max="9" width="12.85546875" bestFit="1" customWidth="1"/>
    <col min="10" max="10" width="15" customWidth="1"/>
    <col min="11" max="11" width="14.42578125" customWidth="1"/>
    <col min="12" max="12" width="16.28515625" customWidth="1"/>
    <col min="14" max="14" width="9.140625" customWidth="1"/>
    <col min="16" max="16" width="12.5703125" bestFit="1" customWidth="1"/>
  </cols>
  <sheetData>
    <row r="1" spans="1:19" x14ac:dyDescent="0.2">
      <c r="A1" s="43" t="s">
        <v>19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2"/>
      <c r="S1" s="2"/>
    </row>
    <row r="2" spans="1:19" x14ac:dyDescent="0.2">
      <c r="A2" s="41"/>
      <c r="B2" s="42"/>
      <c r="C2" s="42"/>
      <c r="D2" s="42"/>
      <c r="E2" s="42"/>
      <c r="F2" s="42"/>
      <c r="G2" s="42"/>
      <c r="H2" s="46"/>
      <c r="I2" s="46"/>
      <c r="J2" s="46"/>
      <c r="K2" s="46"/>
    </row>
    <row r="3" spans="1:19" x14ac:dyDescent="0.2">
      <c r="A3" s="22"/>
      <c r="B3" s="11"/>
      <c r="C3" s="11"/>
      <c r="D3" s="11"/>
      <c r="E3" s="11"/>
      <c r="F3" s="11"/>
      <c r="G3" s="11"/>
      <c r="K3" s="8"/>
      <c r="L3" s="13"/>
    </row>
    <row r="4" spans="1:19" x14ac:dyDescent="0.2">
      <c r="A4" s="22" t="s">
        <v>30</v>
      </c>
      <c r="B4" s="23">
        <f>B6</f>
        <v>58.025936999999999</v>
      </c>
      <c r="C4" s="11" t="s">
        <v>8</v>
      </c>
      <c r="D4" s="11" t="s">
        <v>4</v>
      </c>
      <c r="E4" s="11" t="s">
        <v>5</v>
      </c>
      <c r="F4" s="11" t="s">
        <v>6</v>
      </c>
      <c r="G4" s="11" t="s">
        <v>7</v>
      </c>
      <c r="H4" s="11" t="s">
        <v>26</v>
      </c>
      <c r="I4" s="11" t="s">
        <v>27</v>
      </c>
      <c r="J4" s="11" t="s">
        <v>28</v>
      </c>
      <c r="K4" s="24"/>
      <c r="L4" s="14"/>
    </row>
    <row r="5" spans="1:19" x14ac:dyDescent="0.2">
      <c r="A5" s="22" t="s">
        <v>12</v>
      </c>
      <c r="B5" s="11"/>
      <c r="C5" s="24"/>
      <c r="D5" s="24"/>
      <c r="E5" s="24"/>
      <c r="F5" s="24">
        <f>inv_kin!K3</f>
        <v>8.11</v>
      </c>
      <c r="G5" s="24">
        <v>0</v>
      </c>
      <c r="H5" s="6"/>
      <c r="I5" s="6"/>
      <c r="J5" s="25"/>
      <c r="K5" s="24"/>
      <c r="L5" s="7"/>
    </row>
    <row r="6" spans="1:19" x14ac:dyDescent="0.2">
      <c r="A6" s="22" t="s">
        <v>13</v>
      </c>
      <c r="B6" s="23">
        <f>90-B13</f>
        <v>58.025936999999999</v>
      </c>
      <c r="C6" s="24">
        <f>RADIANS(B4)</f>
        <v>1.0127436522048008</v>
      </c>
      <c r="D6" s="24">
        <f>SIN(C6)</f>
        <v>0.84828789631278356</v>
      </c>
      <c r="E6" s="24">
        <f>COS(C6)</f>
        <v>0.52953531040831658</v>
      </c>
      <c r="F6" s="24"/>
      <c r="G6" s="24"/>
      <c r="H6" s="6"/>
      <c r="I6" s="6"/>
      <c r="J6" s="6"/>
      <c r="K6" s="24"/>
      <c r="N6" s="6"/>
    </row>
    <row r="7" spans="1:19" x14ac:dyDescent="0.2">
      <c r="A7" s="22" t="s">
        <v>14</v>
      </c>
      <c r="B7" s="11"/>
      <c r="C7" s="24"/>
      <c r="D7" s="24"/>
      <c r="E7" s="24"/>
      <c r="F7" s="24">
        <f>inv_kin!K4*animation!D6</f>
        <v>6.3451934644196211</v>
      </c>
      <c r="G7" s="24">
        <f>inv_kin!K4*animation!E6</f>
        <v>3.9609241218542084</v>
      </c>
      <c r="H7" s="6"/>
      <c r="I7" s="6"/>
      <c r="J7" s="6"/>
      <c r="K7" s="24"/>
      <c r="N7" s="6"/>
    </row>
    <row r="8" spans="1:19" x14ac:dyDescent="0.2">
      <c r="A8" s="22" t="s">
        <v>15</v>
      </c>
      <c r="B8" s="23">
        <f>-B14</f>
        <v>-86.699003000000005</v>
      </c>
      <c r="C8" s="24">
        <f>RADIANS(B8)</f>
        <v>-1.5131830605464414</v>
      </c>
      <c r="D8" s="24">
        <f>SIN(C8+C6)</f>
        <v>-0.47981110940630017</v>
      </c>
      <c r="E8" s="24">
        <f>COS(C8+C6)</f>
        <v>0.87737181359461025</v>
      </c>
      <c r="F8" s="24"/>
      <c r="G8" s="24"/>
      <c r="H8" s="6"/>
      <c r="I8" s="6"/>
      <c r="J8" s="6"/>
      <c r="K8" s="24"/>
      <c r="N8" s="6"/>
    </row>
    <row r="9" spans="1:19" x14ac:dyDescent="0.2">
      <c r="A9" s="22" t="s">
        <v>16</v>
      </c>
      <c r="B9" s="11"/>
      <c r="C9" s="24"/>
      <c r="D9" s="24"/>
      <c r="E9" s="24"/>
      <c r="F9" s="24">
        <f>inv_kin!K5*animation!D8</f>
        <v>-4.1551642074585597</v>
      </c>
      <c r="G9" s="24">
        <f>inv_kin!K5*animation!E8</f>
        <v>7.5980399057293253</v>
      </c>
      <c r="H9" s="6"/>
      <c r="I9" s="6"/>
      <c r="J9" s="6"/>
      <c r="K9" s="4"/>
      <c r="N9" s="6"/>
    </row>
    <row r="10" spans="1:19" x14ac:dyDescent="0.2">
      <c r="A10" s="22" t="s">
        <v>17</v>
      </c>
      <c r="B10" s="23">
        <f>-B15+360</f>
        <v>424.47294299999999</v>
      </c>
      <c r="C10" s="24">
        <f>RADIANS(B10)</f>
        <v>7.408450440980217</v>
      </c>
      <c r="D10" s="24">
        <f>SIN(C10+C8+C6)</f>
        <v>0.58495593383057498</v>
      </c>
      <c r="E10" s="24">
        <f>COS(C10+C8+C6)</f>
        <v>0.81106507474825962</v>
      </c>
      <c r="F10" s="24"/>
      <c r="G10" s="24"/>
      <c r="H10" s="6"/>
      <c r="I10" s="6"/>
      <c r="J10" s="6"/>
      <c r="K10" s="6"/>
    </row>
    <row r="11" spans="1:19" x14ac:dyDescent="0.2">
      <c r="A11" s="22" t="s">
        <v>18</v>
      </c>
      <c r="B11" s="11"/>
      <c r="C11" s="24"/>
      <c r="D11" s="24"/>
      <c r="E11" s="24"/>
      <c r="F11" s="24">
        <f>inv_kin!K6*animation!D10</f>
        <v>3.2231071954064681</v>
      </c>
      <c r="G11" s="24">
        <f>inv_kin!K6*animation!E10</f>
        <v>4.4689685618629102</v>
      </c>
      <c r="H11" s="6"/>
      <c r="I11" s="4"/>
      <c r="J11" s="6"/>
      <c r="K11" s="6"/>
      <c r="M11" s="3"/>
    </row>
    <row r="12" spans="1:19" x14ac:dyDescent="0.2">
      <c r="A12" s="41"/>
      <c r="B12" s="42"/>
      <c r="C12" s="11"/>
      <c r="D12" s="11"/>
      <c r="E12" s="11"/>
      <c r="F12" s="11"/>
      <c r="G12" s="11"/>
      <c r="H12" s="6"/>
      <c r="I12" s="6"/>
      <c r="J12" s="6"/>
      <c r="K12" s="6"/>
      <c r="L12" s="1"/>
    </row>
    <row r="13" spans="1:19" x14ac:dyDescent="0.2">
      <c r="A13" s="22" t="s">
        <v>13</v>
      </c>
      <c r="B13" s="36" t="str">
        <f>inv_kin!A6</f>
        <v>31.974063</v>
      </c>
      <c r="C13" s="11"/>
      <c r="D13" s="11"/>
      <c r="E13" s="11" t="s">
        <v>11</v>
      </c>
      <c r="F13" s="24">
        <f>SUM(F5:F11)</f>
        <v>13.523136452367529</v>
      </c>
      <c r="G13" s="24">
        <f>SUM(G5:G11)</f>
        <v>16.027932589446444</v>
      </c>
      <c r="H13" s="6"/>
      <c r="I13" s="4"/>
      <c r="J13" s="26"/>
      <c r="K13" s="6"/>
    </row>
    <row r="14" spans="1:19" x14ac:dyDescent="0.2">
      <c r="A14" s="22" t="s">
        <v>15</v>
      </c>
      <c r="B14" s="37" t="str">
        <f>inv_kin!A5</f>
        <v>86.699003</v>
      </c>
      <c r="C14" s="11"/>
      <c r="D14" s="11"/>
      <c r="E14" s="11"/>
      <c r="F14" s="11"/>
      <c r="G14" s="11"/>
      <c r="H14" s="4"/>
      <c r="I14" s="6"/>
      <c r="J14" s="26"/>
      <c r="K14" s="45"/>
    </row>
    <row r="15" spans="1:19" x14ac:dyDescent="0.2">
      <c r="A15" s="22" t="s">
        <v>17</v>
      </c>
      <c r="B15" s="38" t="str">
        <f>inv_kin!A4</f>
        <v>-64.472943</v>
      </c>
      <c r="C15" s="10"/>
      <c r="D15" s="8"/>
      <c r="E15" s="8"/>
      <c r="F15" s="8"/>
      <c r="G15" s="8"/>
      <c r="H15" s="4"/>
      <c r="I15" s="4"/>
      <c r="J15" s="6"/>
      <c r="K15" s="45"/>
      <c r="L15" s="4"/>
    </row>
    <row r="16" spans="1:19" x14ac:dyDescent="0.2">
      <c r="A16" s="39"/>
      <c r="B16" s="40"/>
      <c r="C16" s="40"/>
      <c r="D16" s="8"/>
      <c r="E16" s="8" t="s">
        <v>10</v>
      </c>
      <c r="F16" s="8"/>
      <c r="G16" s="8"/>
      <c r="H16" s="4"/>
      <c r="I16" s="26"/>
      <c r="J16" s="6"/>
      <c r="K16" s="27"/>
    </row>
    <row r="17" spans="1:20" x14ac:dyDescent="0.2">
      <c r="A17" s="39"/>
      <c r="B17" s="40"/>
      <c r="C17" s="40"/>
      <c r="D17" s="8"/>
      <c r="E17" s="8" t="s">
        <v>9</v>
      </c>
      <c r="F17" s="8">
        <v>0</v>
      </c>
      <c r="G17" s="8">
        <v>0</v>
      </c>
      <c r="H17" s="4"/>
      <c r="I17" s="6"/>
      <c r="J17" s="6"/>
      <c r="K17" s="28"/>
    </row>
    <row r="18" spans="1:20" x14ac:dyDescent="0.2">
      <c r="A18" s="18"/>
      <c r="B18" s="8"/>
      <c r="C18" s="8"/>
      <c r="D18" s="8"/>
      <c r="E18" s="8" t="s">
        <v>0</v>
      </c>
      <c r="F18" s="9">
        <f>F5</f>
        <v>8.11</v>
      </c>
      <c r="G18" s="9">
        <f>G5</f>
        <v>0</v>
      </c>
      <c r="H18" s="6"/>
      <c r="I18" s="6"/>
      <c r="J18" s="6"/>
      <c r="K18" s="28"/>
    </row>
    <row r="19" spans="1:20" x14ac:dyDescent="0.2">
      <c r="A19" s="39"/>
      <c r="B19" s="40"/>
      <c r="C19" s="40"/>
      <c r="D19" s="9"/>
      <c r="E19" s="8" t="s">
        <v>1</v>
      </c>
      <c r="F19" s="9">
        <f>F7+F5</f>
        <v>14.45519346441962</v>
      </c>
      <c r="G19" s="9">
        <f>G7+G5</f>
        <v>3.9609241218542084</v>
      </c>
      <c r="H19" s="6"/>
      <c r="I19" s="6"/>
      <c r="J19" s="29"/>
      <c r="K19" s="28"/>
      <c r="P19" s="12"/>
      <c r="S19" s="2"/>
    </row>
    <row r="20" spans="1:20" x14ac:dyDescent="0.2">
      <c r="A20" s="18"/>
      <c r="B20" s="8"/>
      <c r="C20" s="9"/>
      <c r="D20" s="8"/>
      <c r="E20" s="8" t="s">
        <v>2</v>
      </c>
      <c r="F20" s="9">
        <f>F9+F7+F5</f>
        <v>10.300029256961061</v>
      </c>
      <c r="G20" s="9">
        <f>G9+G7+G5</f>
        <v>11.558964027583533</v>
      </c>
      <c r="H20" s="4">
        <v>0</v>
      </c>
      <c r="I20" s="6">
        <v>0</v>
      </c>
      <c r="J20" s="35" t="str">
        <f>inv_kin!A7</f>
        <v>16.327744</v>
      </c>
      <c r="K20" s="6" t="s">
        <v>29</v>
      </c>
      <c r="P20" s="13"/>
      <c r="Q20" s="13"/>
      <c r="R20" s="12"/>
      <c r="S20" s="12"/>
    </row>
    <row r="21" spans="1:20" x14ac:dyDescent="0.2">
      <c r="A21" s="39"/>
      <c r="B21" s="40"/>
      <c r="C21" s="40"/>
      <c r="D21" s="9"/>
      <c r="E21" s="8" t="s">
        <v>3</v>
      </c>
      <c r="F21" s="9">
        <f>F11+F9+F7+F5</f>
        <v>13.523136452367529</v>
      </c>
      <c r="G21" s="9">
        <f>G11+G9+G7+G5</f>
        <v>16.027932589446444</v>
      </c>
      <c r="H21" s="6">
        <f>G21*COS(J21)</f>
        <v>15.381514429564932</v>
      </c>
      <c r="I21" s="6">
        <f>G21*SIN(J21)</f>
        <v>4.505955719370216</v>
      </c>
      <c r="J21" s="6">
        <f>PI()*J20/180</f>
        <v>0.28497289222274902</v>
      </c>
      <c r="K21" s="6" t="s">
        <v>8</v>
      </c>
      <c r="P21" s="16"/>
      <c r="Q21" s="16"/>
      <c r="R21" s="3"/>
      <c r="S21" s="3"/>
    </row>
    <row r="22" spans="1:20" x14ac:dyDescent="0.2">
      <c r="A22" s="19"/>
      <c r="B22" s="20"/>
      <c r="C22" s="20"/>
      <c r="D22" s="20"/>
      <c r="E22" s="20"/>
      <c r="F22" s="20"/>
      <c r="G22" s="20"/>
      <c r="H22" s="30"/>
      <c r="I22" s="30"/>
      <c r="J22" s="30"/>
      <c r="K22" s="30"/>
      <c r="P22" s="16"/>
      <c r="Q22" s="16"/>
      <c r="R22" s="3"/>
      <c r="S22" s="3"/>
    </row>
    <row r="23" spans="1:20" x14ac:dyDescent="0.2">
      <c r="C23" s="1"/>
      <c r="D23" s="1"/>
      <c r="P23" s="16"/>
      <c r="Q23" s="16"/>
      <c r="R23" s="3"/>
      <c r="S23" s="3"/>
    </row>
    <row r="24" spans="1:20" x14ac:dyDescent="0.2">
      <c r="P24" s="17"/>
      <c r="Q24" s="17"/>
      <c r="R24" s="17"/>
      <c r="S24" s="17"/>
      <c r="T24" s="2"/>
    </row>
    <row r="25" spans="1:20" x14ac:dyDescent="0.2">
      <c r="C25" s="1"/>
      <c r="P25" s="7"/>
      <c r="Q25" s="7"/>
    </row>
    <row r="26" spans="1:20" x14ac:dyDescent="0.2">
      <c r="Q26" s="7"/>
    </row>
  </sheetData>
  <mergeCells count="9">
    <mergeCell ref="A19:C19"/>
    <mergeCell ref="A21:C21"/>
    <mergeCell ref="A12:B12"/>
    <mergeCell ref="A16:C16"/>
    <mergeCell ref="A1:K1"/>
    <mergeCell ref="K14:K15"/>
    <mergeCell ref="A2:G2"/>
    <mergeCell ref="H2:K2"/>
    <mergeCell ref="A17:C17"/>
  </mergeCells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E23FA0-648E-4547-B339-C4A1DE42A0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inv_kin</vt:lpstr>
      <vt:lpstr>animation</vt:lpstr>
      <vt:lpstr>BASE_HEIGHT</vt:lpstr>
      <vt:lpstr>HUMERUS</vt:lpstr>
    </vt:vector>
  </TitlesOfParts>
  <Company>computer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 better</dc:creator>
  <cp:lastModifiedBy>Leonardo Fusser</cp:lastModifiedBy>
  <dcterms:created xsi:type="dcterms:W3CDTF">2003-12-28T05:49:07Z</dcterms:created>
  <dcterms:modified xsi:type="dcterms:W3CDTF">2024-01-02T23:55:51Z</dcterms:modified>
</cp:coreProperties>
</file>